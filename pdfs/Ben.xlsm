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cliffe\Desktop\Form3\Reports\"/>
    </mc:Choice>
  </mc:AlternateContent>
  <xr:revisionPtr revIDLastSave="0" documentId="13_ncr:1_{3E352F11-74E3-405F-AE4A-620F9EBB4CEC}" xr6:coauthVersionLast="47" xr6:coauthVersionMax="47" xr10:uidLastSave="{00000000-0000-0000-0000-000000000000}"/>
  <bookViews>
    <workbookView xWindow="-120" yWindow="-120" windowWidth="20730" windowHeight="11760" xr2:uid="{68B096FE-B56F-4695-8F53-F0932C8AF2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3" i="1"/>
  <c r="F14" i="1"/>
  <c r="F15" i="1"/>
  <c r="F16" i="1"/>
  <c r="F17" i="1"/>
  <c r="F18" i="1"/>
  <c r="F19" i="1"/>
  <c r="F20" i="1"/>
  <c r="F21" i="1"/>
  <c r="F22" i="1"/>
  <c r="F11" i="1"/>
  <c r="D12" i="1"/>
  <c r="D13" i="1"/>
  <c r="D14" i="1"/>
  <c r="D15" i="1"/>
  <c r="D16" i="1"/>
  <c r="D17" i="1"/>
  <c r="D18" i="1"/>
  <c r="D19" i="1"/>
  <c r="D20" i="1"/>
  <c r="D21" i="1"/>
  <c r="D22" i="1"/>
  <c r="D11" i="1"/>
  <c r="F9" i="1" l="1"/>
</calcChain>
</file>

<file path=xl/sharedStrings.xml><?xml version="1.0" encoding="utf-8"?>
<sst xmlns="http://schemas.openxmlformats.org/spreadsheetml/2006/main" count="31" uniqueCount="31">
  <si>
    <t>STAR PRIVATE SECONDARY SCHOOL</t>
  </si>
  <si>
    <t>P.O Box 1032, Mzuzu</t>
  </si>
  <si>
    <t>Contact No: 0984527385/0884005719 (Director )</t>
  </si>
  <si>
    <t>CLASS: FORM 3</t>
  </si>
  <si>
    <t>SUBJECTS</t>
  </si>
  <si>
    <t>GRADE/POINTS</t>
  </si>
  <si>
    <t>POSITION IN CLASS</t>
  </si>
  <si>
    <t>AGRICULTURE</t>
  </si>
  <si>
    <t>BIBLE KNOWLEDGE</t>
  </si>
  <si>
    <t>CHEMISTRY</t>
  </si>
  <si>
    <t>BIOLOGY</t>
  </si>
  <si>
    <t>CHICHEWA</t>
  </si>
  <si>
    <t>COMPUTER STUDIES</t>
  </si>
  <si>
    <t>ENGLISH</t>
  </si>
  <si>
    <t>GEOGRAPHY</t>
  </si>
  <si>
    <t>HISTORY</t>
  </si>
  <si>
    <t>SOCIAL/LIFE SKILLS</t>
  </si>
  <si>
    <t>MATHEMATICS</t>
  </si>
  <si>
    <t>PHYSICS</t>
  </si>
  <si>
    <t>TOTAL SCORES OBTAINED:</t>
  </si>
  <si>
    <t xml:space="preserve">REPORT SHEET FOR: MSCE  </t>
  </si>
  <si>
    <t xml:space="preserve">NAME: </t>
  </si>
  <si>
    <t>EXAM SCORE (100%)</t>
  </si>
  <si>
    <t>TOTAL MARKS (100%)</t>
  </si>
  <si>
    <t>FINAL AVERAGE</t>
  </si>
  <si>
    <t>CLASS AVERAGE</t>
  </si>
  <si>
    <t xml:space="preserve">POSITION: </t>
  </si>
  <si>
    <t>ACADEMIC YEAR: 2025</t>
  </si>
  <si>
    <t xml:space="preserve">POINTS: </t>
  </si>
  <si>
    <t>Ben</t>
  </si>
  <si>
    <t>OUT OF: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</si>
</sst>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1372262</xdr:colOff>
      <xdr:row>5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163CD7-EA46-BD9B-C875-E4E2465B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372262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E93-DAC8-40E6-860F-96CA91310518}">
  <sheetPr codeName="Sheet1"/>
  <dimension ref="A5:I23"/>
  <sheetViews>
    <sheetView tabSelected="1" zoomScaleNormal="100" workbookViewId="0">
      <selection activeCell="H10" sqref="H10"/>
    </sheetView>
  </sheetViews>
  <sheetFormatPr defaultRowHeight="15" x14ac:dyDescent="0.25"/>
  <cols>
    <col min="1" max="1" width="24.7109375" bestFit="1" customWidth="1"/>
    <col min="4" max="4" width="10.28515625" customWidth="1"/>
    <col min="5" max="5" width="9.7109375" customWidth="1"/>
    <col min="6" max="6" width="10.5703125" bestFit="1" customWidth="1"/>
  </cols>
  <sheetData>
    <row r="5" spans="1:9" x14ac:dyDescent="0.25">
      <c r="A5" s="9" t="s">
        <v>0</v>
      </c>
      <c r="B5" s="9"/>
      <c r="C5" s="9"/>
      <c r="D5" s="9"/>
      <c r="E5" s="9"/>
      <c r="F5" s="9"/>
    </row>
    <row r="6" spans="1:9" x14ac:dyDescent="0.25">
      <c r="A6" s="9" t="s">
        <v>1</v>
      </c>
      <c r="B6" s="9"/>
      <c r="C6" s="9"/>
      <c r="D6" s="9"/>
      <c r="E6" s="9"/>
      <c r="F6" s="9"/>
    </row>
    <row r="7" spans="1:9" x14ac:dyDescent="0.25">
      <c r="A7" t="s">
        <v>21</v>
      </c>
      <c r="B7" t="s">
        <v>2</v>
      </c>
      <c r="G7" s="1"/>
      <c r="H7" s="1"/>
      <c r="I7" s="1"/>
    </row>
    <row r="8" spans="1:9" x14ac:dyDescent="0.25">
      <c r="A8" t="s">
        <v>29</v>
      </c>
      <c r="B8" t="s">
        <v>3</v>
      </c>
      <c r="D8" t="s">
        <v>26</v>
      </c>
      <c r="E8" s="8"/>
      <c r="F8" t="s">
        <v>30</v>
      </c>
      <c r="G8" s="1"/>
      <c r="H8" s="1"/>
      <c r="I8" s="1"/>
    </row>
    <row r="9" spans="1:9" x14ac:dyDescent="0.25">
      <c r="A9" t="s">
        <v>20</v>
      </c>
      <c r="B9" t="s">
        <v>27</v>
      </c>
      <c r="E9" t="s">
        <v>28</v>
      </c>
      <c r="F9" t="str">
        <f>IF(D17="", "No English!!!", IF(COUNT($D$11:$D$22)&lt;5, "Missing marks", D17 + SUM(SMALL($D$11:$D$22, {1,2,3,4,5}))))</f>
        <v>Missing marks</v>
      </c>
    </row>
    <row r="10" spans="1:9" ht="45" x14ac:dyDescent="0.25">
      <c r="A10" s="4" t="s">
        <v>4</v>
      </c>
      <c r="B10" s="3" t="s">
        <v>22</v>
      </c>
      <c r="C10" s="3" t="s">
        <v>23</v>
      </c>
      <c r="D10" s="5" t="s">
        <v>5</v>
      </c>
      <c r="E10" s="5" t="s">
        <v>6</v>
      </c>
      <c r="F10" s="6"/>
    </row>
    <row r="11" spans="1:9" x14ac:dyDescent="0.25">
      <c r="A11" s="2" t="s">
        <v>7</v>
      </c>
      <c r="B11" s="2"/>
      <c r="C11" s="7">
        <v>100</v>
      </c>
      <c r="D11" s="2" t="str">
        <f>IF($B11="", "-", CHOOSE(MATCH($B11, {0,40,50,55,60,65,70,80,85}, 1), 9, 8, 7, 6, 5, 4, 3, 2, 1))</f>
        <v>-</v>
      </c>
      <c r="E11" s="2"/>
      <c r="F11" s="2" t="str">
        <f>IF($B11="","-",IF($B11&gt;=80,"Distinction",IF($B11&gt;=55,"Credit",IF($B11&gt;=40,"Pass","Fail"))))</f>
        <v>-</v>
      </c>
    </row>
    <row r="12" spans="1:9" x14ac:dyDescent="0.25">
      <c r="A12" s="2" t="s">
        <v>8</v>
      </c>
      <c r="B12" s="2"/>
      <c r="C12" s="7">
        <v>100</v>
      </c>
      <c r="D12" s="2" t="str">
        <f>IF($B12="", "-", CHOOSE(MATCH($B12, {0,40,50,55,60,65,70,80,85}, 1), 9, 8, 7, 6, 5, 4, 3, 2, 1))</f>
        <v>-</v>
      </c>
      <c r="E12" s="2"/>
      <c r="F12" s="2" t="str">
        <f t="shared" ref="F12:F22" si="0">IF($B12="","-",IF($B12&gt;=80,"Distinction",IF($B12&gt;=55,"Credit",IF($B12&gt;=40,"Pass","Fail"))))</f>
        <v>-</v>
      </c>
    </row>
    <row r="13" spans="1:9" x14ac:dyDescent="0.25">
      <c r="A13" s="2" t="s">
        <v>10</v>
      </c>
      <c r="B13" s="2"/>
      <c r="C13" s="7">
        <v>100</v>
      </c>
      <c r="D13" s="2" t="str">
        <f>IF($B13="", "-", CHOOSE(MATCH($B13, {0,40,50,55,60,65,70,80,85}, 1), 9, 8, 7, 6, 5, 4, 3, 2, 1))</f>
        <v>-</v>
      </c>
      <c r="E13" s="2"/>
      <c r="F13" s="2" t="str">
        <f t="shared" si="0"/>
        <v>-</v>
      </c>
    </row>
    <row r="14" spans="1:9" x14ac:dyDescent="0.25">
      <c r="A14" s="2" t="s">
        <v>9</v>
      </c>
      <c r="B14" s="2"/>
      <c r="C14" s="7">
        <v>100</v>
      </c>
      <c r="D14" s="2" t="str">
        <f>IF($B14="", "-", CHOOSE(MATCH($B14, {0,40,50,55,60,65,70,80,85}, 1), 9, 8, 7, 6, 5, 4, 3, 2, 1))</f>
        <v>-</v>
      </c>
      <c r="E14" s="2"/>
      <c r="F14" s="2" t="str">
        <f t="shared" si="0"/>
        <v>-</v>
      </c>
    </row>
    <row r="15" spans="1:9" x14ac:dyDescent="0.25">
      <c r="A15" s="2" t="s">
        <v>11</v>
      </c>
      <c r="B15" s="2"/>
      <c r="C15" s="7">
        <v>100</v>
      </c>
      <c r="D15" s="2" t="str">
        <f>IF($B15="", "-", CHOOSE(MATCH($B15, {0,40,50,55,60,65,70,80,85}, 1), 9, 8, 7, 6, 5, 4, 3, 2, 1))</f>
        <v>-</v>
      </c>
      <c r="E15" s="2"/>
      <c r="F15" s="2" t="str">
        <f t="shared" si="0"/>
        <v>-</v>
      </c>
    </row>
    <row r="16" spans="1:9" x14ac:dyDescent="0.25">
      <c r="A16" s="2" t="s">
        <v>12</v>
      </c>
      <c r="B16" s="2"/>
      <c r="C16" s="7">
        <v>100</v>
      </c>
      <c r="D16" s="2" t="str">
        <f>IF($B16="", "-", CHOOSE(MATCH($B16, {0,40,50,55,60,65,70,80,85}, 1), 9, 8, 7, 6, 5, 4, 3, 2, 1))</f>
        <v>-</v>
      </c>
      <c r="E16" s="2"/>
      <c r="F16" s="2" t="str">
        <f t="shared" si="0"/>
        <v>-</v>
      </c>
    </row>
    <row r="17" spans="1:6" x14ac:dyDescent="0.25">
      <c r="A17" s="2" t="s">
        <v>13</v>
      </c>
      <c r="B17" s="2"/>
      <c r="C17" s="7">
        <v>100</v>
      </c>
      <c r="D17" s="2" t="str">
        <f>IF($B17="", "-", CHOOSE(MATCH($B17, {0,40,50,55,60,65,70,80,85}, 1), 9, 8, 7, 6, 5, 4, 3, 2, 1))</f>
        <v>-</v>
      </c>
      <c r="E17" s="2"/>
      <c r="F17" s="2" t="str">
        <f t="shared" si="0"/>
        <v>-</v>
      </c>
    </row>
    <row r="18" spans="1:6" x14ac:dyDescent="0.25">
      <c r="A18" s="2" t="s">
        <v>14</v>
      </c>
      <c r="B18" s="2"/>
      <c r="C18" s="7">
        <v>100</v>
      </c>
      <c r="D18" s="2" t="str">
        <f>IF($B18="", "-", CHOOSE(MATCH($B18, {0,40,50,55,60,65,70,80,85}, 1), 9, 8, 7, 6, 5, 4, 3, 2, 1))</f>
        <v>-</v>
      </c>
      <c r="E18" s="2"/>
      <c r="F18" s="2" t="str">
        <f t="shared" si="0"/>
        <v>-</v>
      </c>
    </row>
    <row r="19" spans="1:6" x14ac:dyDescent="0.25">
      <c r="A19" s="2" t="s">
        <v>15</v>
      </c>
      <c r="B19" s="2"/>
      <c r="C19" s="7">
        <v>100</v>
      </c>
      <c r="D19" s="2" t="str">
        <f>IF($B19="", "-", CHOOSE(MATCH($B19, {0,40,50,55,60,65,70,80,85}, 1), 9, 8, 7, 6, 5, 4, 3, 2, 1))</f>
        <v>-</v>
      </c>
      <c r="E19" s="2"/>
      <c r="F19" s="2" t="str">
        <f t="shared" si="0"/>
        <v>-</v>
      </c>
    </row>
    <row r="20" spans="1:6" x14ac:dyDescent="0.25">
      <c r="A20" s="2" t="s">
        <v>18</v>
      </c>
      <c r="B20" s="2"/>
      <c r="C20" s="7">
        <v>100</v>
      </c>
      <c r="D20" s="2" t="str">
        <f>IF($B20="", "-", CHOOSE(MATCH($B20, {0,40,50,55,60,65,70,80,85}, 1), 9, 8, 7, 6, 5, 4, 3, 2, 1))</f>
        <v>-</v>
      </c>
      <c r="E20" s="2"/>
      <c r="F20" s="2" t="str">
        <f t="shared" si="0"/>
        <v>-</v>
      </c>
    </row>
    <row r="21" spans="1:6" x14ac:dyDescent="0.25">
      <c r="A21" s="2" t="s">
        <v>17</v>
      </c>
      <c r="B21" s="2"/>
      <c r="C21" s="7">
        <v>100</v>
      </c>
      <c r="D21" s="2" t="str">
        <f>IF($B21="", "-", CHOOSE(MATCH($B21, {0,40,50,55,60,65,70,80,85}, 1), 9, 8, 7, 6, 5, 4, 3, 2, 1))</f>
        <v>-</v>
      </c>
      <c r="E21" s="2"/>
      <c r="F21" s="2" t="str">
        <f t="shared" si="0"/>
        <v>-</v>
      </c>
    </row>
    <row r="22" spans="1:6" x14ac:dyDescent="0.25">
      <c r="A22" s="2" t="s">
        <v>16</v>
      </c>
      <c r="B22" s="2"/>
      <c r="C22" s="7">
        <v>100</v>
      </c>
      <c r="D22" s="2" t="str">
        <f>IF($B22="", "-", CHOOSE(MATCH($B22, {0,40,50,55,60,65,70,80,85}, 1), 9, 8, 7, 6, 5, 4, 3, 2, 1))</f>
        <v>-</v>
      </c>
      <c r="E22" s="2"/>
      <c r="F22" s="2" t="str">
        <f t="shared" si="0"/>
        <v>-</v>
      </c>
    </row>
    <row r="23" spans="1:6" ht="45" x14ac:dyDescent="0.25">
      <c r="A23" s="5" t="s">
        <v>19</v>
      </c>
      <c r="B23" s="3" t="s">
        <v>24</v>
      </c>
      <c r="C23" s="3" t="s">
        <v>25</v>
      </c>
      <c r="D23" s="2"/>
      <c r="E23" s="2"/>
      <c r="F23" s="2"/>
    </row>
  </sheetData>
  <mergeCells count="2">
    <mergeCell ref="A5:F5"/>
    <mergeCell ref="A6:F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Wycliffe</dc:creator>
  <cp:lastModifiedBy>Wycliffe</cp:lastModifiedBy>
  <cp:lastPrinted>2025-05-29T13:49:33Z</cp:lastPrinted>
  <dcterms:created xsi:type="dcterms:W3CDTF">2025-01-15T09:20:52Z</dcterms:created>
  <dcterms:modified xsi:type="dcterms:W3CDTF">2025-05-29T13:49:34Z</dcterms:modified>
</cp:coreProperties>
</file>